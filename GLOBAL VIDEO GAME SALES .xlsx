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2ff60ec25a00b8/"/>
    </mc:Choice>
  </mc:AlternateContent>
  <xr:revisionPtr revIDLastSave="0" documentId="8_{DF003F09-7327-9447-B7E5-C62AB9C2A267}" xr6:coauthVersionLast="47" xr6:coauthVersionMax="47" xr10:uidLastSave="{00000000-0000-0000-0000-000000000000}"/>
  <bookViews>
    <workbookView xWindow="-108" yWindow="-108" windowWidth="23256" windowHeight="12456" xr2:uid="{13312D7C-0BF1-4C09-B678-EF38AD251EBE}"/>
  </bookViews>
  <sheets>
    <sheet name="Sheet1" sheetId="1" r:id="rId1"/>
  </sheets>
  <definedNames>
    <definedName name="_xlchart.v1.0" hidden="1">Sheet1!$K$1</definedName>
    <definedName name="_xlchart.v1.1" hidden="1">Sheet1!$K$2:$K$38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2" i="1"/>
</calcChain>
</file>

<file path=xl/sharedStrings.xml><?xml version="1.0" encoding="utf-8"?>
<sst xmlns="http://schemas.openxmlformats.org/spreadsheetml/2006/main" count="159" uniqueCount="73">
  <si>
    <t>Rank</t>
  </si>
  <si>
    <t>Name</t>
  </si>
  <si>
    <t>Platform</t>
  </si>
  <si>
    <t>Genre</t>
  </si>
  <si>
    <t>Year</t>
  </si>
  <si>
    <t>Publisher</t>
  </si>
  <si>
    <t>NA_sales</t>
  </si>
  <si>
    <t>EU_sales</t>
  </si>
  <si>
    <t>JP_sales</t>
  </si>
  <si>
    <t>Other_sales</t>
  </si>
  <si>
    <t>Global_sales</t>
  </si>
  <si>
    <t>Mean(Global_sales)</t>
  </si>
  <si>
    <t>Median(Global_sales)</t>
  </si>
  <si>
    <t>Standard Deviation(Global_sales)</t>
  </si>
  <si>
    <t>Variance(Global_sales)</t>
  </si>
  <si>
    <t>NES</t>
  </si>
  <si>
    <t>Shooter</t>
  </si>
  <si>
    <t>Capcorn</t>
  </si>
  <si>
    <t>.hack//G.U.Vol.1//Rebirth</t>
  </si>
  <si>
    <t>PS2</t>
  </si>
  <si>
    <t>Role-Playing</t>
  </si>
  <si>
    <t>Namco Bandai Games</t>
  </si>
  <si>
    <t>.hack//G.U.Vol.2//Reminisce</t>
  </si>
  <si>
    <t>.hack//G.U.Vol.2//Reminisce(jp sales)</t>
  </si>
  <si>
    <t>.hack//G.U.Vol.3//Redemption</t>
  </si>
  <si>
    <t>.hack//Infection Part1</t>
  </si>
  <si>
    <t>Atari</t>
  </si>
  <si>
    <t>.hack//Link</t>
  </si>
  <si>
    <t>.hack//Mutation Part2</t>
  </si>
  <si>
    <t>.hack//Outbreak Part3</t>
  </si>
  <si>
    <t>.hack//Quarantine Part4:The Final Chapter</t>
  </si>
  <si>
    <t>.hack:Sekai no Mukouni+Versus</t>
  </si>
  <si>
    <t>PS3</t>
  </si>
  <si>
    <t>Action</t>
  </si>
  <si>
    <t>[Prototype2]</t>
  </si>
  <si>
    <t>X360</t>
  </si>
  <si>
    <t>Activision</t>
  </si>
  <si>
    <t>PC</t>
  </si>
  <si>
    <t>[Prototype]</t>
  </si>
  <si>
    <t>DS</t>
  </si>
  <si>
    <t>Shin Chan Flipa en colres!</t>
  </si>
  <si>
    <t>PS</t>
  </si>
  <si>
    <t>505 Games</t>
  </si>
  <si>
    <t>007 Racing</t>
  </si>
  <si>
    <t>Racing</t>
  </si>
  <si>
    <t>Electronic Arts</t>
  </si>
  <si>
    <t>007:Quantum of Solace</t>
  </si>
  <si>
    <t>Wii</t>
  </si>
  <si>
    <t>N64</t>
  </si>
  <si>
    <t>0,01</t>
  </si>
  <si>
    <t>007:The World is not Enough</t>
  </si>
  <si>
    <t>007:Tomorrow never dies</t>
  </si>
  <si>
    <t>1 vs 100</t>
  </si>
  <si>
    <t>PSP</t>
  </si>
  <si>
    <t>Misc</t>
  </si>
  <si>
    <t>DSI Games</t>
  </si>
  <si>
    <t>1/2 Summer+</t>
  </si>
  <si>
    <t>Adventure</t>
  </si>
  <si>
    <t>Kaga Create</t>
  </si>
  <si>
    <t>10 Minut Solution</t>
  </si>
  <si>
    <t>Sports</t>
  </si>
  <si>
    <t>100 All -time Favourites</t>
  </si>
  <si>
    <t>Puzzle</t>
  </si>
  <si>
    <t>Ubisoft</t>
  </si>
  <si>
    <t>100 Classic Books</t>
  </si>
  <si>
    <t>Nintendo</t>
  </si>
  <si>
    <t>100 Classic Games</t>
  </si>
  <si>
    <t>Rondomedia</t>
  </si>
  <si>
    <t>1000 Cooking Recipes from ELLEtable</t>
  </si>
  <si>
    <t>1001 Touch Games</t>
  </si>
  <si>
    <t>Avanquest</t>
  </si>
  <si>
    <t>101-in-1 Explosive Megamix</t>
  </si>
  <si>
    <t>Nordcurrent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</si>
</sst>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Sheet1!$D$1:$D$37</c:f>
              <c:strCache>
                <c:ptCount val="37"/>
                <c:pt idx="0">
                  <c:v>Genre</c:v>
                </c:pt>
                <c:pt idx="1">
                  <c:v>Shooter</c:v>
                </c:pt>
                <c:pt idx="2">
                  <c:v>Role-Playing</c:v>
                </c:pt>
                <c:pt idx="3">
                  <c:v>Role-Playing</c:v>
                </c:pt>
                <c:pt idx="4">
                  <c:v>Role-Playing</c:v>
                </c:pt>
                <c:pt idx="5">
                  <c:v>Role-Playing</c:v>
                </c:pt>
                <c:pt idx="6">
                  <c:v>Role-Playing</c:v>
                </c:pt>
                <c:pt idx="7">
                  <c:v>Role-Playing</c:v>
                </c:pt>
                <c:pt idx="8">
                  <c:v>Role-Playing</c:v>
                </c:pt>
                <c:pt idx="9">
                  <c:v>Role-Playing</c:v>
                </c:pt>
                <c:pt idx="10">
                  <c:v>Role-Playing</c:v>
                </c:pt>
                <c:pt idx="11">
                  <c:v>Action</c:v>
                </c:pt>
                <c:pt idx="12">
                  <c:v>Action</c:v>
                </c:pt>
                <c:pt idx="13">
                  <c:v>Action</c:v>
                </c:pt>
                <c:pt idx="14">
                  <c:v>Action</c:v>
                </c:pt>
                <c:pt idx="15">
                  <c:v>Action</c:v>
                </c:pt>
                <c:pt idx="16">
                  <c:v>Action</c:v>
                </c:pt>
                <c:pt idx="17">
                  <c:v>Platform</c:v>
                </c:pt>
                <c:pt idx="18">
                  <c:v>Racing</c:v>
                </c:pt>
                <c:pt idx="19">
                  <c:v>Action</c:v>
                </c:pt>
                <c:pt idx="20">
                  <c:v>Action</c:v>
                </c:pt>
                <c:pt idx="21">
                  <c:v>Action</c:v>
                </c:pt>
                <c:pt idx="22">
                  <c:v>Action</c:v>
                </c:pt>
                <c:pt idx="23">
                  <c:v>Action</c:v>
                </c:pt>
                <c:pt idx="24">
                  <c:v>Action</c:v>
                </c:pt>
                <c:pt idx="25">
                  <c:v>Action</c:v>
                </c:pt>
                <c:pt idx="26">
                  <c:v>Action</c:v>
                </c:pt>
                <c:pt idx="27">
                  <c:v>Shooter</c:v>
                </c:pt>
                <c:pt idx="28">
                  <c:v>Misc</c:v>
                </c:pt>
                <c:pt idx="29">
                  <c:v>Adventure</c:v>
                </c:pt>
                <c:pt idx="30">
                  <c:v>Sports</c:v>
                </c:pt>
                <c:pt idx="31">
                  <c:v>Puzzle</c:v>
                </c:pt>
                <c:pt idx="32">
                  <c:v>Misc</c:v>
                </c:pt>
                <c:pt idx="33">
                  <c:v>Misc</c:v>
                </c:pt>
                <c:pt idx="34">
                  <c:v>Misc</c:v>
                </c:pt>
                <c:pt idx="35">
                  <c:v>Action</c:v>
                </c:pt>
                <c:pt idx="36">
                  <c:v>Puzzle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D0-45C2-9084-DF569193D72D}"/>
              </c:ext>
            </c:extLst>
          </c:dPt>
          <c:val>
            <c:numRef>
              <c:f>Sheet1!$D$38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0DF-45BA-88F0-94FE6B662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Sheet1!$D$1:$D$37</c:f>
              <c:strCache>
                <c:ptCount val="37"/>
                <c:pt idx="0">
                  <c:v>Genre</c:v>
                </c:pt>
                <c:pt idx="1">
                  <c:v>Shooter</c:v>
                </c:pt>
                <c:pt idx="2">
                  <c:v>Role-Playing</c:v>
                </c:pt>
                <c:pt idx="3">
                  <c:v>Role-Playing</c:v>
                </c:pt>
                <c:pt idx="4">
                  <c:v>Role-Playing</c:v>
                </c:pt>
                <c:pt idx="5">
                  <c:v>Role-Playing</c:v>
                </c:pt>
                <c:pt idx="6">
                  <c:v>Role-Playing</c:v>
                </c:pt>
                <c:pt idx="7">
                  <c:v>Role-Playing</c:v>
                </c:pt>
                <c:pt idx="8">
                  <c:v>Role-Playing</c:v>
                </c:pt>
                <c:pt idx="9">
                  <c:v>Role-Playing</c:v>
                </c:pt>
                <c:pt idx="10">
                  <c:v>Role-Playing</c:v>
                </c:pt>
                <c:pt idx="11">
                  <c:v>Action</c:v>
                </c:pt>
                <c:pt idx="12">
                  <c:v>Action</c:v>
                </c:pt>
                <c:pt idx="13">
                  <c:v>Action</c:v>
                </c:pt>
                <c:pt idx="14">
                  <c:v>Action</c:v>
                </c:pt>
                <c:pt idx="15">
                  <c:v>Action</c:v>
                </c:pt>
                <c:pt idx="16">
                  <c:v>Action</c:v>
                </c:pt>
                <c:pt idx="17">
                  <c:v>Platform</c:v>
                </c:pt>
                <c:pt idx="18">
                  <c:v>Racing</c:v>
                </c:pt>
                <c:pt idx="19">
                  <c:v>Action</c:v>
                </c:pt>
                <c:pt idx="20">
                  <c:v>Action</c:v>
                </c:pt>
                <c:pt idx="21">
                  <c:v>Action</c:v>
                </c:pt>
                <c:pt idx="22">
                  <c:v>Action</c:v>
                </c:pt>
                <c:pt idx="23">
                  <c:v>Action</c:v>
                </c:pt>
                <c:pt idx="24">
                  <c:v>Action</c:v>
                </c:pt>
                <c:pt idx="25">
                  <c:v>Action</c:v>
                </c:pt>
                <c:pt idx="26">
                  <c:v>Action</c:v>
                </c:pt>
                <c:pt idx="27">
                  <c:v>Shooter</c:v>
                </c:pt>
                <c:pt idx="28">
                  <c:v>Misc</c:v>
                </c:pt>
                <c:pt idx="29">
                  <c:v>Adventure</c:v>
                </c:pt>
                <c:pt idx="30">
                  <c:v>Sports</c:v>
                </c:pt>
                <c:pt idx="31">
                  <c:v>Puzzle</c:v>
                </c:pt>
                <c:pt idx="32">
                  <c:v>Misc</c:v>
                </c:pt>
                <c:pt idx="33">
                  <c:v>Misc</c:v>
                </c:pt>
                <c:pt idx="34">
                  <c:v>Misc</c:v>
                </c:pt>
                <c:pt idx="35">
                  <c:v>Action</c:v>
                </c:pt>
                <c:pt idx="36">
                  <c:v>Puzzle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Sheet1!$D$38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4BA-4047-8EA2-9C68401A9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7211199"/>
        <c:axId val="887222239"/>
      </c:barChart>
      <c:catAx>
        <c:axId val="887211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22239"/>
        <c:crosses val="autoZero"/>
        <c:auto val="1"/>
        <c:lblAlgn val="ctr"/>
        <c:lblOffset val="100"/>
        <c:noMultiLvlLbl val="0"/>
      </c:catAx>
      <c:valAx>
        <c:axId val="88722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1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Global_sales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Sheet1!$K$2:$K$38</c:f>
              <c:numCache>
                <c:formatCode>General</c:formatCode>
                <c:ptCount val="37"/>
                <c:pt idx="0">
                  <c:v>1</c:v>
                </c:pt>
                <c:pt idx="1">
                  <c:v>0.17</c:v>
                </c:pt>
                <c:pt idx="2">
                  <c:v>0.23</c:v>
                </c:pt>
                <c:pt idx="3">
                  <c:v>0.16</c:v>
                </c:pt>
                <c:pt idx="4">
                  <c:v>0.17</c:v>
                </c:pt>
                <c:pt idx="5">
                  <c:v>1.27</c:v>
                </c:pt>
                <c:pt idx="6">
                  <c:v>0.14000000000000001</c:v>
                </c:pt>
                <c:pt idx="7">
                  <c:v>0.68</c:v>
                </c:pt>
                <c:pt idx="8">
                  <c:v>0.46</c:v>
                </c:pt>
                <c:pt idx="9">
                  <c:v>0.18</c:v>
                </c:pt>
                <c:pt idx="10">
                  <c:v>0.03</c:v>
                </c:pt>
                <c:pt idx="11">
                  <c:v>0.8</c:v>
                </c:pt>
                <c:pt idx="12">
                  <c:v>0.75</c:v>
                </c:pt>
                <c:pt idx="13">
                  <c:v>0.1</c:v>
                </c:pt>
                <c:pt idx="14">
                  <c:v>1.31</c:v>
                </c:pt>
                <c:pt idx="15">
                  <c:v>1.24</c:v>
                </c:pt>
                <c:pt idx="16">
                  <c:v>0.14000000000000001</c:v>
                </c:pt>
                <c:pt idx="17">
                  <c:v>0.53</c:v>
                </c:pt>
                <c:pt idx="18">
                  <c:v>1.49</c:v>
                </c:pt>
                <c:pt idx="19">
                  <c:v>1.1599999999999999</c:v>
                </c:pt>
                <c:pt idx="20">
                  <c:v>0.67</c:v>
                </c:pt>
                <c:pt idx="21">
                  <c:v>0.43</c:v>
                </c:pt>
                <c:pt idx="22">
                  <c:v>0.14000000000000001</c:v>
                </c:pt>
                <c:pt idx="23">
                  <c:v>0.03</c:v>
                </c:pt>
                <c:pt idx="24">
                  <c:v>1.55</c:v>
                </c:pt>
                <c:pt idx="25">
                  <c:v>0.92</c:v>
                </c:pt>
                <c:pt idx="26">
                  <c:v>3.21</c:v>
                </c:pt>
                <c:pt idx="27">
                  <c:v>0.09</c:v>
                </c:pt>
                <c:pt idx="28">
                  <c:v>0.01</c:v>
                </c:pt>
                <c:pt idx="29">
                  <c:v>0.08</c:v>
                </c:pt>
                <c:pt idx="30">
                  <c:v>0.51</c:v>
                </c:pt>
                <c:pt idx="31">
                  <c:v>0.67</c:v>
                </c:pt>
                <c:pt idx="32">
                  <c:v>0.04</c:v>
                </c:pt>
                <c:pt idx="33">
                  <c:v>0.03</c:v>
                </c:pt>
                <c:pt idx="34">
                  <c:v>0.33</c:v>
                </c:pt>
                <c:pt idx="3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F-4D4F-B2EB-4FB5C3BD6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962127"/>
        <c:axId val="262961647"/>
      </c:lineChart>
      <c:catAx>
        <c:axId val="262962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61647"/>
        <c:crosses val="autoZero"/>
        <c:auto val="1"/>
        <c:lblAlgn val="ctr"/>
        <c:lblOffset val="100"/>
        <c:noMultiLvlLbl val="0"/>
      </c:catAx>
      <c:valAx>
        <c:axId val="2629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6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E8BCC37D-EA6C-4814-8B22-84FAC32C9903}">
          <cx:tx>
            <cx:txData>
              <cx:f>_xlchart.v1.0</cx:f>
              <cx:v>Global_sales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 /><Relationship Id="rId2" Type="http://schemas.microsoft.com/office/2014/relationships/chartEx" Target="../charts/chartEx1.xml" /><Relationship Id="rId1" Type="http://schemas.openxmlformats.org/officeDocument/2006/relationships/chart" Target="../charts/chart1.xml" /><Relationship Id="rId4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79611</xdr:colOff>
      <xdr:row>26</xdr:row>
      <xdr:rowOff>160360</xdr:rowOff>
    </xdr:from>
    <xdr:to>
      <xdr:col>17</xdr:col>
      <xdr:colOff>164910</xdr:colOff>
      <xdr:row>27</xdr:row>
      <xdr:rowOff>24109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218823-84F6-6D79-A16E-E212624FB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386686</xdr:colOff>
      <xdr:row>1</xdr:row>
      <xdr:rowOff>90985</xdr:rowOff>
    </xdr:from>
    <xdr:to>
      <xdr:col>26</xdr:col>
      <xdr:colOff>102358</xdr:colOff>
      <xdr:row>16</xdr:row>
      <xdr:rowOff>113732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63D38C-66D3-0425-808F-B42661D26A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307073</xdr:colOff>
      <xdr:row>26</xdr:row>
      <xdr:rowOff>160361</xdr:rowOff>
    </xdr:from>
    <xdr:to>
      <xdr:col>25</xdr:col>
      <xdr:colOff>363940</xdr:colOff>
      <xdr:row>27</xdr:row>
      <xdr:rowOff>68239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0AB799-783E-478E-4493-6E5D6C02F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398059</xdr:colOff>
      <xdr:row>19</xdr:row>
      <xdr:rowOff>45492</xdr:rowOff>
    </xdr:from>
    <xdr:to>
      <xdr:col>25</xdr:col>
      <xdr:colOff>68238</xdr:colOff>
      <xdr:row>36</xdr:row>
      <xdr:rowOff>170596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0D0FB7-5428-F63D-6A0A-7B936D9CF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C084-B285-433C-8001-654919A60E16}">
  <dimension ref="A1:O37"/>
  <sheetViews>
    <sheetView tabSelected="1" topLeftCell="F1" zoomScale="67" workbookViewId="0">
      <selection activeCell="S18" sqref="S18"/>
    </sheetView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2061</v>
      </c>
      <c r="B2">
        <v>1942</v>
      </c>
      <c r="C2" t="s">
        <v>15</v>
      </c>
      <c r="D2" t="s">
        <v>16</v>
      </c>
      <c r="E2">
        <v>1985</v>
      </c>
      <c r="F2" t="s">
        <v>17</v>
      </c>
      <c r="G2">
        <v>0.65</v>
      </c>
      <c r="H2">
        <v>0.14000000000000001</v>
      </c>
      <c r="I2">
        <v>0.21</v>
      </c>
      <c r="J2">
        <v>0</v>
      </c>
      <c r="K2">
        <v>1</v>
      </c>
      <c r="L2">
        <f>AVERAGE(K2:K37)</f>
        <v>0.58111111111111113</v>
      </c>
      <c r="M2">
        <f>MEDIAN(K2:K37)</f>
        <v>0.38</v>
      </c>
      <c r="N2">
        <f>_xlfn.STDEV.S(K2:K37)</f>
        <v>0.64882213181284021</v>
      </c>
      <c r="O2">
        <f>_xlfn.VAR.S(K2:K37)</f>
        <v>0.42097015873015853</v>
      </c>
    </row>
    <row r="3" spans="1:15" x14ac:dyDescent="0.2">
      <c r="A3">
        <v>8359</v>
      </c>
      <c r="B3" t="s">
        <v>18</v>
      </c>
      <c r="C3" t="s">
        <v>19</v>
      </c>
      <c r="D3" t="s">
        <v>20</v>
      </c>
      <c r="E3">
        <v>2006</v>
      </c>
      <c r="F3" t="s">
        <v>21</v>
      </c>
      <c r="G3">
        <v>0</v>
      </c>
      <c r="H3">
        <v>0</v>
      </c>
      <c r="I3">
        <v>0.17</v>
      </c>
      <c r="J3">
        <v>0</v>
      </c>
      <c r="K3">
        <v>0.17</v>
      </c>
      <c r="L3">
        <f t="shared" ref="L3:L38" si="0">AVERAGE(K3:K38)</f>
        <v>0.56914285714285717</v>
      </c>
      <c r="M3">
        <f t="shared" ref="M3:M38" si="1">MEDIAN(K3:K38)</f>
        <v>0.33</v>
      </c>
      <c r="N3">
        <f t="shared" ref="N3:N38" si="2">_xlfn.STDEV.S(K3:K38)</f>
        <v>0.65425022838707325</v>
      </c>
      <c r="O3">
        <f t="shared" ref="O3:O38" si="3">_xlfn.VAR.S(K3:K38)</f>
        <v>0.42804336134453758</v>
      </c>
    </row>
    <row r="4" spans="1:15" x14ac:dyDescent="0.2">
      <c r="A4">
        <v>7109</v>
      </c>
      <c r="B4" t="s">
        <v>22</v>
      </c>
      <c r="C4" t="s">
        <v>19</v>
      </c>
      <c r="D4" t="s">
        <v>20</v>
      </c>
      <c r="E4">
        <v>2006</v>
      </c>
      <c r="F4" t="s">
        <v>21</v>
      </c>
      <c r="G4">
        <v>0.11</v>
      </c>
      <c r="H4">
        <v>0.09</v>
      </c>
      <c r="I4">
        <v>0</v>
      </c>
      <c r="J4">
        <v>0.03</v>
      </c>
      <c r="K4">
        <v>0.23</v>
      </c>
      <c r="L4">
        <f t="shared" si="0"/>
        <v>0.58088235294117652</v>
      </c>
      <c r="M4">
        <f t="shared" si="1"/>
        <v>0.38</v>
      </c>
      <c r="N4">
        <f t="shared" si="2"/>
        <v>0.66033677196292573</v>
      </c>
      <c r="O4">
        <f t="shared" si="3"/>
        <v>0.43604465240641693</v>
      </c>
    </row>
    <row r="5" spans="1:15" x14ac:dyDescent="0.2">
      <c r="A5">
        <v>8604</v>
      </c>
      <c r="B5" t="s">
        <v>23</v>
      </c>
      <c r="C5" t="s">
        <v>19</v>
      </c>
      <c r="D5" t="s">
        <v>20</v>
      </c>
      <c r="E5">
        <v>2006</v>
      </c>
      <c r="F5" t="s">
        <v>21</v>
      </c>
      <c r="G5">
        <v>0</v>
      </c>
      <c r="H5">
        <v>0</v>
      </c>
      <c r="I5">
        <v>0.16</v>
      </c>
      <c r="J5">
        <v>0</v>
      </c>
      <c r="K5">
        <v>0.16</v>
      </c>
      <c r="L5">
        <f t="shared" si="0"/>
        <v>0.59151515151515166</v>
      </c>
      <c r="M5">
        <f t="shared" si="1"/>
        <v>0.43</v>
      </c>
      <c r="N5">
        <f t="shared" si="2"/>
        <v>0.66761291747221108</v>
      </c>
      <c r="O5">
        <f t="shared" si="3"/>
        <v>0.44570700757575732</v>
      </c>
    </row>
    <row r="6" spans="1:15" x14ac:dyDescent="0.2">
      <c r="A6">
        <v>8306</v>
      </c>
      <c r="B6" t="s">
        <v>24</v>
      </c>
      <c r="C6" t="s">
        <v>19</v>
      </c>
      <c r="D6" t="s">
        <v>20</v>
      </c>
      <c r="E6">
        <v>2007</v>
      </c>
      <c r="F6" t="s">
        <v>21</v>
      </c>
      <c r="G6">
        <v>0</v>
      </c>
      <c r="H6">
        <v>0</v>
      </c>
      <c r="I6">
        <v>0.17</v>
      </c>
      <c r="J6">
        <v>0</v>
      </c>
      <c r="K6">
        <v>0.17</v>
      </c>
      <c r="L6">
        <f t="shared" si="0"/>
        <v>0.60500000000000009</v>
      </c>
      <c r="M6">
        <f t="shared" si="1"/>
        <v>0.44500000000000001</v>
      </c>
      <c r="N6">
        <f t="shared" si="2"/>
        <v>0.67371382840241967</v>
      </c>
      <c r="O6">
        <f t="shared" si="3"/>
        <v>0.45389032258064493</v>
      </c>
    </row>
    <row r="7" spans="1:15" x14ac:dyDescent="0.2">
      <c r="A7">
        <v>1565</v>
      </c>
      <c r="B7" t="s">
        <v>25</v>
      </c>
      <c r="C7" t="s">
        <v>19</v>
      </c>
      <c r="D7" t="s">
        <v>20</v>
      </c>
      <c r="E7">
        <v>2002</v>
      </c>
      <c r="F7" t="s">
        <v>26</v>
      </c>
      <c r="G7">
        <v>0.49</v>
      </c>
      <c r="H7">
        <v>0.38</v>
      </c>
      <c r="I7">
        <v>0.26</v>
      </c>
      <c r="J7">
        <v>0.13</v>
      </c>
      <c r="K7">
        <v>1.27</v>
      </c>
      <c r="L7">
        <f t="shared" si="0"/>
        <v>0.61903225806451612</v>
      </c>
      <c r="M7">
        <f t="shared" si="1"/>
        <v>0.46</v>
      </c>
      <c r="N7">
        <f t="shared" si="2"/>
        <v>0.68008016605255028</v>
      </c>
      <c r="O7">
        <f t="shared" si="3"/>
        <v>0.46250903225806433</v>
      </c>
    </row>
    <row r="8" spans="1:15" x14ac:dyDescent="0.2">
      <c r="A8">
        <v>9076</v>
      </c>
      <c r="B8" t="s">
        <v>27</v>
      </c>
      <c r="C8" t="s">
        <v>19</v>
      </c>
      <c r="D8" t="s">
        <v>20</v>
      </c>
      <c r="E8">
        <v>2010</v>
      </c>
      <c r="F8" t="s">
        <v>21</v>
      </c>
      <c r="G8">
        <v>0</v>
      </c>
      <c r="H8">
        <v>0</v>
      </c>
      <c r="I8">
        <v>0.14000000000000001</v>
      </c>
      <c r="J8">
        <v>0</v>
      </c>
      <c r="K8">
        <v>0.14000000000000001</v>
      </c>
      <c r="L8">
        <f t="shared" si="0"/>
        <v>0.59733333333333338</v>
      </c>
      <c r="M8">
        <f t="shared" si="1"/>
        <v>0.44500000000000001</v>
      </c>
      <c r="N8">
        <f t="shared" si="2"/>
        <v>0.68070416549301349</v>
      </c>
      <c r="O8">
        <f t="shared" si="3"/>
        <v>0.46335816091953991</v>
      </c>
    </row>
    <row r="9" spans="1:15" x14ac:dyDescent="0.2">
      <c r="A9">
        <v>3004</v>
      </c>
      <c r="B9" t="s">
        <v>28</v>
      </c>
      <c r="C9" t="s">
        <v>19</v>
      </c>
      <c r="D9" t="s">
        <v>20</v>
      </c>
      <c r="E9">
        <v>2002</v>
      </c>
      <c r="F9" t="s">
        <v>26</v>
      </c>
      <c r="G9">
        <v>0.23</v>
      </c>
      <c r="H9">
        <v>0.18</v>
      </c>
      <c r="I9">
        <v>0.2</v>
      </c>
      <c r="J9">
        <v>0.06</v>
      </c>
      <c r="K9">
        <v>0.68</v>
      </c>
      <c r="L9">
        <f t="shared" si="0"/>
        <v>0.61310344827586216</v>
      </c>
      <c r="M9">
        <f t="shared" si="1"/>
        <v>0.46</v>
      </c>
      <c r="N9">
        <f t="shared" si="2"/>
        <v>0.68715304724990289</v>
      </c>
      <c r="O9">
        <f t="shared" si="3"/>
        <v>0.47217931034482735</v>
      </c>
    </row>
    <row r="10" spans="1:15" x14ac:dyDescent="0.2">
      <c r="A10">
        <v>4296</v>
      </c>
      <c r="B10" t="s">
        <v>29</v>
      </c>
      <c r="C10" t="s">
        <v>19</v>
      </c>
      <c r="D10" t="s">
        <v>20</v>
      </c>
      <c r="E10">
        <v>2002</v>
      </c>
      <c r="F10" t="s">
        <v>26</v>
      </c>
      <c r="G10">
        <v>0.14000000000000001</v>
      </c>
      <c r="H10">
        <v>0.11</v>
      </c>
      <c r="I10">
        <v>0.17</v>
      </c>
      <c r="J10">
        <v>0.04</v>
      </c>
      <c r="K10">
        <v>0.46</v>
      </c>
      <c r="L10">
        <f t="shared" si="0"/>
        <v>0.61071428571428565</v>
      </c>
      <c r="M10">
        <f t="shared" si="1"/>
        <v>0.44500000000000001</v>
      </c>
      <c r="N10">
        <f t="shared" si="2"/>
        <v>0.6996397410065891</v>
      </c>
      <c r="O10">
        <f t="shared" si="3"/>
        <v>0.4894957671957671</v>
      </c>
    </row>
    <row r="11" spans="1:15" x14ac:dyDescent="0.2">
      <c r="A11">
        <v>8009</v>
      </c>
      <c r="B11" t="s">
        <v>30</v>
      </c>
      <c r="C11" t="s">
        <v>19</v>
      </c>
      <c r="D11" t="s">
        <v>20</v>
      </c>
      <c r="E11">
        <v>2003</v>
      </c>
      <c r="F11" t="s">
        <v>26</v>
      </c>
      <c r="G11">
        <v>0.09</v>
      </c>
      <c r="H11">
        <v>7.0000000000000007E-2</v>
      </c>
      <c r="I11">
        <v>0</v>
      </c>
      <c r="J11">
        <v>0.02</v>
      </c>
      <c r="K11">
        <v>0.18</v>
      </c>
      <c r="L11">
        <f t="shared" si="0"/>
        <v>0.61629629629629623</v>
      </c>
      <c r="M11">
        <f t="shared" si="1"/>
        <v>0.43</v>
      </c>
      <c r="N11">
        <f t="shared" si="2"/>
        <v>0.71233175151506778</v>
      </c>
      <c r="O11">
        <f t="shared" si="3"/>
        <v>0.50741652421652428</v>
      </c>
    </row>
    <row r="12" spans="1:15" x14ac:dyDescent="0.2">
      <c r="A12">
        <v>14279</v>
      </c>
      <c r="B12" t="s">
        <v>31</v>
      </c>
      <c r="C12" t="s">
        <v>32</v>
      </c>
      <c r="D12" t="s">
        <v>33</v>
      </c>
      <c r="E12">
        <v>2012</v>
      </c>
      <c r="F12" t="s">
        <v>21</v>
      </c>
      <c r="G12">
        <v>0</v>
      </c>
      <c r="H12">
        <v>0</v>
      </c>
      <c r="I12">
        <v>0.03</v>
      </c>
      <c r="J12">
        <v>0</v>
      </c>
      <c r="K12">
        <v>0.03</v>
      </c>
      <c r="L12">
        <f t="shared" si="0"/>
        <v>0.63307692307692298</v>
      </c>
      <c r="M12">
        <f t="shared" si="1"/>
        <v>0.47</v>
      </c>
      <c r="N12">
        <f t="shared" si="2"/>
        <v>0.72097583443979163</v>
      </c>
      <c r="O12">
        <f t="shared" si="3"/>
        <v>0.51980615384615381</v>
      </c>
    </row>
    <row r="13" spans="1:15" x14ac:dyDescent="0.2">
      <c r="A13">
        <v>2576</v>
      </c>
      <c r="B13" t="s">
        <v>34</v>
      </c>
      <c r="C13" t="s">
        <v>35</v>
      </c>
      <c r="D13" t="s">
        <v>33</v>
      </c>
      <c r="E13">
        <v>2012</v>
      </c>
      <c r="F13" t="s">
        <v>36</v>
      </c>
      <c r="G13">
        <v>0.48</v>
      </c>
      <c r="H13">
        <v>0.25</v>
      </c>
      <c r="I13">
        <v>0</v>
      </c>
      <c r="J13">
        <v>7.0000000000000007E-2</v>
      </c>
      <c r="K13">
        <v>0.8</v>
      </c>
      <c r="L13">
        <f t="shared" si="0"/>
        <v>0.65720000000000001</v>
      </c>
      <c r="M13">
        <f t="shared" si="1"/>
        <v>0.51</v>
      </c>
      <c r="N13">
        <f t="shared" si="2"/>
        <v>0.72505471057936954</v>
      </c>
      <c r="O13">
        <f t="shared" si="3"/>
        <v>0.52570433333333333</v>
      </c>
    </row>
    <row r="14" spans="1:15" x14ac:dyDescent="0.2">
      <c r="A14">
        <v>2742</v>
      </c>
      <c r="B14" t="s">
        <v>34</v>
      </c>
      <c r="C14" t="s">
        <v>37</v>
      </c>
      <c r="D14" t="s">
        <v>33</v>
      </c>
      <c r="E14">
        <v>2012</v>
      </c>
      <c r="F14" t="s">
        <v>36</v>
      </c>
      <c r="G14">
        <v>0.36</v>
      </c>
      <c r="H14">
        <v>0.28000000000000003</v>
      </c>
      <c r="I14">
        <v>0</v>
      </c>
      <c r="J14">
        <v>0.11</v>
      </c>
      <c r="K14">
        <v>0.75</v>
      </c>
      <c r="L14">
        <f t="shared" si="0"/>
        <v>0.65125</v>
      </c>
      <c r="M14">
        <f t="shared" si="1"/>
        <v>0.47</v>
      </c>
      <c r="N14">
        <f t="shared" si="2"/>
        <v>0.74002533740406495</v>
      </c>
      <c r="O14">
        <f t="shared" si="3"/>
        <v>0.54763750000000011</v>
      </c>
    </row>
    <row r="15" spans="1:15" x14ac:dyDescent="0.2">
      <c r="A15">
        <v>10598</v>
      </c>
      <c r="B15" t="s">
        <v>34</v>
      </c>
      <c r="C15" t="s">
        <v>35</v>
      </c>
      <c r="D15" t="s">
        <v>33</v>
      </c>
      <c r="E15">
        <v>2012</v>
      </c>
      <c r="F15" t="s">
        <v>36</v>
      </c>
      <c r="G15">
        <v>7.0000000000000007E-2</v>
      </c>
      <c r="H15">
        <v>0.02</v>
      </c>
      <c r="I15">
        <v>0</v>
      </c>
      <c r="J15">
        <v>0.01</v>
      </c>
      <c r="K15">
        <v>0.1</v>
      </c>
      <c r="L15">
        <f t="shared" si="0"/>
        <v>0.64695652173913043</v>
      </c>
      <c r="M15">
        <f t="shared" si="1"/>
        <v>0.43</v>
      </c>
      <c r="N15">
        <f t="shared" si="2"/>
        <v>0.75635149826836878</v>
      </c>
      <c r="O15">
        <f t="shared" si="3"/>
        <v>0.57206758893280629</v>
      </c>
    </row>
    <row r="16" spans="1:15" x14ac:dyDescent="0.2">
      <c r="A16">
        <v>1505</v>
      </c>
      <c r="B16" t="s">
        <v>38</v>
      </c>
      <c r="C16" t="s">
        <v>32</v>
      </c>
      <c r="D16" t="s">
        <v>33</v>
      </c>
      <c r="E16">
        <v>2009</v>
      </c>
      <c r="F16" t="s">
        <v>36</v>
      </c>
      <c r="G16">
        <v>0.84</v>
      </c>
      <c r="H16">
        <v>0.35</v>
      </c>
      <c r="I16">
        <v>0</v>
      </c>
      <c r="J16">
        <v>0.12</v>
      </c>
      <c r="K16">
        <v>1.31</v>
      </c>
      <c r="L16">
        <f t="shared" si="0"/>
        <v>0.67181818181818176</v>
      </c>
      <c r="M16">
        <f t="shared" si="1"/>
        <v>0.47</v>
      </c>
      <c r="N16">
        <f t="shared" si="2"/>
        <v>0.76447078715643824</v>
      </c>
      <c r="O16">
        <f t="shared" si="3"/>
        <v>0.58441558441558428</v>
      </c>
    </row>
    <row r="17" spans="1:15" x14ac:dyDescent="0.2">
      <c r="A17">
        <v>1604</v>
      </c>
      <c r="B17" t="s">
        <v>38</v>
      </c>
      <c r="C17" t="s">
        <v>39</v>
      </c>
      <c r="D17" t="s">
        <v>33</v>
      </c>
      <c r="E17">
        <v>2009</v>
      </c>
      <c r="F17" t="s">
        <v>36</v>
      </c>
      <c r="G17">
        <v>0.65</v>
      </c>
      <c r="H17">
        <v>0.41</v>
      </c>
      <c r="I17">
        <v>0</v>
      </c>
      <c r="J17">
        <v>0.19</v>
      </c>
      <c r="K17">
        <v>1.24</v>
      </c>
      <c r="L17">
        <f t="shared" si="0"/>
        <v>0.64142857142857124</v>
      </c>
      <c r="M17">
        <f t="shared" si="1"/>
        <v>0.43</v>
      </c>
      <c r="N17">
        <f t="shared" si="2"/>
        <v>0.76961214721628268</v>
      </c>
      <c r="O17">
        <f t="shared" si="3"/>
        <v>0.59230285714285724</v>
      </c>
    </row>
    <row r="18" spans="1:15" x14ac:dyDescent="0.2">
      <c r="A18">
        <v>9137</v>
      </c>
      <c r="B18" t="s">
        <v>40</v>
      </c>
      <c r="C18" t="s">
        <v>41</v>
      </c>
      <c r="D18" t="s">
        <v>2</v>
      </c>
      <c r="E18">
        <v>2007</v>
      </c>
      <c r="F18" t="s">
        <v>42</v>
      </c>
      <c r="G18">
        <v>0</v>
      </c>
      <c r="H18">
        <v>0</v>
      </c>
      <c r="I18">
        <v>0.14000000000000001</v>
      </c>
      <c r="J18">
        <v>0</v>
      </c>
      <c r="K18">
        <v>0.14000000000000001</v>
      </c>
      <c r="L18">
        <f t="shared" si="0"/>
        <v>0.61149999999999982</v>
      </c>
      <c r="M18">
        <f t="shared" si="1"/>
        <v>0.38</v>
      </c>
      <c r="N18">
        <f t="shared" si="2"/>
        <v>0.77696626628661847</v>
      </c>
      <c r="O18">
        <f t="shared" si="3"/>
        <v>0.60367657894736859</v>
      </c>
    </row>
    <row r="19" spans="1:15" x14ac:dyDescent="0.2">
      <c r="A19">
        <v>3770</v>
      </c>
      <c r="B19" t="s">
        <v>43</v>
      </c>
      <c r="C19" t="s">
        <v>35</v>
      </c>
      <c r="D19" t="s">
        <v>44</v>
      </c>
      <c r="E19">
        <v>2000</v>
      </c>
      <c r="F19" t="s">
        <v>45</v>
      </c>
      <c r="G19">
        <v>0.3</v>
      </c>
      <c r="H19">
        <v>0.2</v>
      </c>
      <c r="I19">
        <v>0</v>
      </c>
      <c r="J19">
        <v>0.03</v>
      </c>
      <c r="K19">
        <v>0.53</v>
      </c>
      <c r="L19">
        <f t="shared" si="0"/>
        <v>0.63631578947368406</v>
      </c>
      <c r="M19">
        <f t="shared" si="1"/>
        <v>0.43</v>
      </c>
      <c r="N19">
        <f t="shared" si="2"/>
        <v>0.79007180071965455</v>
      </c>
      <c r="O19">
        <f t="shared" si="3"/>
        <v>0.62421345029239761</v>
      </c>
    </row>
    <row r="20" spans="1:15" x14ac:dyDescent="0.2">
      <c r="A20">
        <v>1275</v>
      </c>
      <c r="B20" t="s">
        <v>46</v>
      </c>
      <c r="C20" t="s">
        <v>32</v>
      </c>
      <c r="D20" t="s">
        <v>33</v>
      </c>
      <c r="E20">
        <v>2008</v>
      </c>
      <c r="F20" t="s">
        <v>36</v>
      </c>
      <c r="G20">
        <v>0.82</v>
      </c>
      <c r="H20">
        <v>0.52</v>
      </c>
      <c r="I20">
        <v>0.01</v>
      </c>
      <c r="J20">
        <v>0.14000000000000001</v>
      </c>
      <c r="K20">
        <v>1.49</v>
      </c>
      <c r="L20">
        <f t="shared" si="0"/>
        <v>0.64222222222222203</v>
      </c>
      <c r="M20">
        <f t="shared" si="1"/>
        <v>0.38</v>
      </c>
      <c r="N20">
        <f t="shared" si="2"/>
        <v>0.81254542356687809</v>
      </c>
      <c r="O20">
        <f t="shared" si="3"/>
        <v>0.66023006535947726</v>
      </c>
    </row>
    <row r="21" spans="1:15" x14ac:dyDescent="0.2">
      <c r="A21">
        <v>1741</v>
      </c>
      <c r="B21" t="s">
        <v>46</v>
      </c>
      <c r="C21" t="s">
        <v>47</v>
      </c>
      <c r="D21" t="s">
        <v>33</v>
      </c>
      <c r="E21">
        <v>2008</v>
      </c>
      <c r="F21" t="s">
        <v>36</v>
      </c>
      <c r="G21">
        <v>0.43</v>
      </c>
      <c r="H21">
        <v>0.52</v>
      </c>
      <c r="I21">
        <v>0.02</v>
      </c>
      <c r="J21">
        <v>0.2</v>
      </c>
      <c r="K21">
        <v>1.1599999999999999</v>
      </c>
      <c r="L21">
        <f t="shared" si="0"/>
        <v>0.59235294117647042</v>
      </c>
      <c r="M21">
        <f t="shared" si="1"/>
        <v>0.33</v>
      </c>
      <c r="N21">
        <f t="shared" si="2"/>
        <v>0.80866038461585277</v>
      </c>
      <c r="O21">
        <f t="shared" si="3"/>
        <v>0.65393161764705887</v>
      </c>
    </row>
    <row r="22" spans="1:15" x14ac:dyDescent="0.2">
      <c r="A22">
        <v>3040</v>
      </c>
      <c r="B22" t="s">
        <v>46</v>
      </c>
      <c r="C22" t="s">
        <v>19</v>
      </c>
      <c r="D22" t="s">
        <v>33</v>
      </c>
      <c r="E22">
        <v>2008</v>
      </c>
      <c r="F22" t="s">
        <v>36</v>
      </c>
      <c r="G22">
        <v>0.3</v>
      </c>
      <c r="H22">
        <v>0.28999999999999998</v>
      </c>
      <c r="I22">
        <v>0.01</v>
      </c>
      <c r="J22">
        <v>7.0000000000000007E-2</v>
      </c>
      <c r="K22">
        <v>0.67</v>
      </c>
      <c r="L22">
        <f t="shared" si="0"/>
        <v>0.5568749999999999</v>
      </c>
      <c r="M22">
        <f t="shared" si="1"/>
        <v>0.26500000000000001</v>
      </c>
      <c r="N22">
        <f t="shared" si="2"/>
        <v>0.82140301720085407</v>
      </c>
      <c r="O22">
        <f t="shared" si="3"/>
        <v>0.6747029166666666</v>
      </c>
    </row>
    <row r="23" spans="1:15" x14ac:dyDescent="0.2">
      <c r="A23">
        <v>4501</v>
      </c>
      <c r="B23" t="s">
        <v>46</v>
      </c>
      <c r="C23" t="s">
        <v>39</v>
      </c>
      <c r="D23" t="s">
        <v>33</v>
      </c>
      <c r="E23">
        <v>2008</v>
      </c>
      <c r="F23" t="s">
        <v>36</v>
      </c>
      <c r="G23">
        <v>0.82</v>
      </c>
      <c r="H23">
        <v>0</v>
      </c>
      <c r="I23">
        <v>0</v>
      </c>
      <c r="J23">
        <v>0.26</v>
      </c>
      <c r="K23">
        <v>0.43</v>
      </c>
      <c r="L23">
        <f t="shared" si="0"/>
        <v>0.54933333333333323</v>
      </c>
      <c r="M23">
        <f t="shared" si="1"/>
        <v>0.2</v>
      </c>
      <c r="N23">
        <f t="shared" si="2"/>
        <v>0.84965931547941753</v>
      </c>
      <c r="O23">
        <f t="shared" si="3"/>
        <v>0.72192095238095244</v>
      </c>
    </row>
    <row r="24" spans="1:15" x14ac:dyDescent="0.2">
      <c r="A24">
        <v>9320</v>
      </c>
      <c r="B24" t="s">
        <v>46</v>
      </c>
      <c r="C24" t="s">
        <v>37</v>
      </c>
      <c r="D24" t="s">
        <v>33</v>
      </c>
      <c r="E24">
        <v>2008</v>
      </c>
      <c r="F24" t="s">
        <v>36</v>
      </c>
      <c r="G24">
        <v>0.43</v>
      </c>
      <c r="H24">
        <v>0.01</v>
      </c>
      <c r="I24">
        <v>0</v>
      </c>
      <c r="J24">
        <v>0.01</v>
      </c>
      <c r="K24">
        <v>0.14000000000000001</v>
      </c>
      <c r="L24">
        <f t="shared" si="0"/>
        <v>0.55785714285714283</v>
      </c>
      <c r="M24">
        <f t="shared" si="1"/>
        <v>0.17</v>
      </c>
      <c r="N24">
        <f t="shared" si="2"/>
        <v>0.88106734721567703</v>
      </c>
      <c r="O24">
        <f t="shared" si="3"/>
        <v>0.77627967032967038</v>
      </c>
    </row>
    <row r="25" spans="1:15" x14ac:dyDescent="0.2">
      <c r="A25">
        <v>14550</v>
      </c>
      <c r="B25" t="s">
        <v>46</v>
      </c>
      <c r="C25" t="s">
        <v>48</v>
      </c>
      <c r="D25" t="s">
        <v>33</v>
      </c>
      <c r="E25">
        <v>2008</v>
      </c>
      <c r="F25" t="s">
        <v>36</v>
      </c>
      <c r="G25">
        <v>0.3</v>
      </c>
      <c r="H25" t="s">
        <v>49</v>
      </c>
      <c r="I25">
        <v>0</v>
      </c>
      <c r="J25">
        <v>0</v>
      </c>
      <c r="K25">
        <v>0.03</v>
      </c>
      <c r="L25">
        <f t="shared" si="0"/>
        <v>0.59</v>
      </c>
      <c r="M25">
        <f t="shared" si="1"/>
        <v>0.2</v>
      </c>
      <c r="N25">
        <f t="shared" si="2"/>
        <v>0.90846023578360324</v>
      </c>
      <c r="O25">
        <f t="shared" si="3"/>
        <v>0.82529999999999992</v>
      </c>
    </row>
    <row r="26" spans="1:15" x14ac:dyDescent="0.2">
      <c r="A26">
        <v>1202</v>
      </c>
      <c r="B26" t="s">
        <v>50</v>
      </c>
      <c r="C26" t="s">
        <v>41</v>
      </c>
      <c r="D26" t="s">
        <v>33</v>
      </c>
      <c r="E26">
        <v>2000</v>
      </c>
      <c r="F26" t="s">
        <v>45</v>
      </c>
      <c r="G26">
        <v>0.17</v>
      </c>
      <c r="H26">
        <v>0.38</v>
      </c>
      <c r="I26">
        <v>0.02</v>
      </c>
      <c r="J26">
        <v>0.03</v>
      </c>
      <c r="K26">
        <v>1.55</v>
      </c>
      <c r="L26">
        <f t="shared" si="0"/>
        <v>0.6366666666666666</v>
      </c>
      <c r="M26">
        <f t="shared" si="1"/>
        <v>0.26500000000000001</v>
      </c>
      <c r="N26">
        <f t="shared" si="2"/>
        <v>0.93243896542477467</v>
      </c>
      <c r="O26">
        <f t="shared" si="3"/>
        <v>0.86944242424242413</v>
      </c>
    </row>
    <row r="27" spans="1:15" x14ac:dyDescent="0.2">
      <c r="A27">
        <v>2249</v>
      </c>
      <c r="B27" t="s">
        <v>50</v>
      </c>
      <c r="C27" t="s">
        <v>41</v>
      </c>
      <c r="D27" t="s">
        <v>33</v>
      </c>
      <c r="E27">
        <v>2000</v>
      </c>
      <c r="F27" t="s">
        <v>45</v>
      </c>
      <c r="G27">
        <v>0.11</v>
      </c>
      <c r="H27">
        <v>0.35</v>
      </c>
      <c r="I27">
        <v>0</v>
      </c>
      <c r="J27">
        <v>0.06</v>
      </c>
      <c r="K27">
        <v>0.92</v>
      </c>
      <c r="L27">
        <f t="shared" si="0"/>
        <v>0.55363636363636359</v>
      </c>
      <c r="M27">
        <f t="shared" si="1"/>
        <v>0.2</v>
      </c>
      <c r="N27">
        <f t="shared" si="2"/>
        <v>0.93026096045435258</v>
      </c>
      <c r="O27">
        <f t="shared" si="3"/>
        <v>0.86538545454545446</v>
      </c>
    </row>
    <row r="28" spans="1:15" x14ac:dyDescent="0.2">
      <c r="A28">
        <v>421</v>
      </c>
      <c r="B28" t="s">
        <v>51</v>
      </c>
      <c r="C28" t="s">
        <v>39</v>
      </c>
      <c r="D28" t="s">
        <v>16</v>
      </c>
      <c r="E28">
        <v>1999</v>
      </c>
      <c r="F28" t="s">
        <v>45</v>
      </c>
      <c r="G28">
        <v>0.01</v>
      </c>
      <c r="H28">
        <v>1.33</v>
      </c>
      <c r="I28">
        <v>0</v>
      </c>
      <c r="J28">
        <v>0.16</v>
      </c>
      <c r="K28">
        <v>3.21</v>
      </c>
      <c r="L28">
        <f t="shared" si="0"/>
        <v>0.51700000000000002</v>
      </c>
      <c r="M28">
        <f t="shared" si="1"/>
        <v>0.14500000000000002</v>
      </c>
      <c r="N28">
        <f t="shared" si="2"/>
        <v>0.97218025306238576</v>
      </c>
      <c r="O28">
        <f t="shared" si="3"/>
        <v>0.94513444444444439</v>
      </c>
    </row>
    <row r="29" spans="1:15" x14ac:dyDescent="0.2">
      <c r="A29">
        <v>11233</v>
      </c>
      <c r="B29" t="s">
        <v>52</v>
      </c>
      <c r="C29" t="s">
        <v>53</v>
      </c>
      <c r="D29" t="s">
        <v>54</v>
      </c>
      <c r="E29">
        <v>2008</v>
      </c>
      <c r="F29" t="s">
        <v>55</v>
      </c>
      <c r="G29">
        <v>1.1299999999999999</v>
      </c>
      <c r="H29">
        <v>0</v>
      </c>
      <c r="I29">
        <v>0</v>
      </c>
      <c r="J29">
        <v>0.01</v>
      </c>
      <c r="K29">
        <v>0.09</v>
      </c>
      <c r="L29">
        <f t="shared" si="0"/>
        <v>0.21777777777777776</v>
      </c>
      <c r="M29">
        <f t="shared" si="1"/>
        <v>0.09</v>
      </c>
      <c r="N29">
        <f t="shared" si="2"/>
        <v>0.23668427164567665</v>
      </c>
      <c r="O29">
        <f t="shared" si="3"/>
        <v>5.6019444444444462E-2</v>
      </c>
    </row>
    <row r="30" spans="1:15" x14ac:dyDescent="0.2">
      <c r="A30">
        <v>16115</v>
      </c>
      <c r="B30" t="s">
        <v>56</v>
      </c>
      <c r="C30" t="s">
        <v>47</v>
      </c>
      <c r="D30" t="s">
        <v>57</v>
      </c>
      <c r="E30">
        <v>2013</v>
      </c>
      <c r="F30" t="s">
        <v>58</v>
      </c>
      <c r="G30">
        <v>0.51</v>
      </c>
      <c r="H30">
        <v>0</v>
      </c>
      <c r="I30">
        <v>0.01</v>
      </c>
      <c r="J30">
        <v>0</v>
      </c>
      <c r="K30">
        <v>0.01</v>
      </c>
      <c r="L30">
        <f t="shared" si="0"/>
        <v>0.23375000000000001</v>
      </c>
      <c r="M30">
        <f t="shared" si="1"/>
        <v>0.14000000000000001</v>
      </c>
      <c r="N30">
        <f t="shared" si="2"/>
        <v>0.2477866305628984</v>
      </c>
      <c r="O30">
        <f t="shared" si="3"/>
        <v>6.1398214285714292E-2</v>
      </c>
    </row>
    <row r="31" spans="1:15" x14ac:dyDescent="0.2">
      <c r="A31">
        <v>11414</v>
      </c>
      <c r="B31" t="s">
        <v>59</v>
      </c>
      <c r="C31" t="s">
        <v>39</v>
      </c>
      <c r="D31" t="s">
        <v>60</v>
      </c>
      <c r="E31">
        <v>2010</v>
      </c>
      <c r="F31" t="s">
        <v>36</v>
      </c>
      <c r="G31">
        <v>1.72</v>
      </c>
      <c r="H31">
        <v>0.01</v>
      </c>
      <c r="I31">
        <v>0</v>
      </c>
      <c r="J31">
        <v>0.01</v>
      </c>
      <c r="K31">
        <v>0.08</v>
      </c>
      <c r="L31">
        <f t="shared" si="0"/>
        <v>0.26571428571428574</v>
      </c>
      <c r="M31">
        <f t="shared" si="1"/>
        <v>0.2</v>
      </c>
      <c r="N31">
        <f t="shared" si="2"/>
        <v>0.24918916127158922</v>
      </c>
      <c r="O31">
        <f t="shared" si="3"/>
        <v>6.2095238095238099E-2</v>
      </c>
    </row>
    <row r="32" spans="1:15" x14ac:dyDescent="0.2">
      <c r="A32">
        <v>3888</v>
      </c>
      <c r="B32" t="s">
        <v>61</v>
      </c>
      <c r="C32" t="s">
        <v>39</v>
      </c>
      <c r="D32" t="s">
        <v>62</v>
      </c>
      <c r="E32">
        <v>2009</v>
      </c>
      <c r="F32" t="s">
        <v>63</v>
      </c>
      <c r="G32">
        <v>0.08</v>
      </c>
      <c r="H32">
        <v>0.12</v>
      </c>
      <c r="I32">
        <v>0</v>
      </c>
      <c r="J32">
        <v>0.04</v>
      </c>
      <c r="K32">
        <v>0.51</v>
      </c>
      <c r="L32">
        <f t="shared" si="0"/>
        <v>0.29666666666666669</v>
      </c>
      <c r="M32">
        <f t="shared" si="1"/>
        <v>0.26500000000000001</v>
      </c>
      <c r="N32">
        <f t="shared" si="2"/>
        <v>0.25781130050226014</v>
      </c>
      <c r="O32">
        <f t="shared" si="3"/>
        <v>6.6466666666666674E-2</v>
      </c>
    </row>
    <row r="33" spans="1:15" x14ac:dyDescent="0.2">
      <c r="A33">
        <v>3008</v>
      </c>
      <c r="B33" t="s">
        <v>64</v>
      </c>
      <c r="C33" t="s">
        <v>39</v>
      </c>
      <c r="D33" t="s">
        <v>54</v>
      </c>
      <c r="E33">
        <v>2008</v>
      </c>
      <c r="F33" t="s">
        <v>65</v>
      </c>
      <c r="G33">
        <v>0</v>
      </c>
      <c r="H33">
        <v>0.52</v>
      </c>
      <c r="I33">
        <v>0</v>
      </c>
      <c r="J33">
        <v>0.02</v>
      </c>
      <c r="K33">
        <v>0.67</v>
      </c>
      <c r="L33">
        <f t="shared" si="0"/>
        <v>0.254</v>
      </c>
      <c r="M33">
        <f t="shared" si="1"/>
        <v>0.2</v>
      </c>
      <c r="N33">
        <f t="shared" si="2"/>
        <v>0.26349573051569553</v>
      </c>
      <c r="O33">
        <f t="shared" si="3"/>
        <v>6.9430000000000047E-2</v>
      </c>
    </row>
    <row r="34" spans="1:15" x14ac:dyDescent="0.2">
      <c r="A34">
        <v>13892</v>
      </c>
      <c r="B34" t="s">
        <v>66</v>
      </c>
      <c r="C34" t="s">
        <v>39</v>
      </c>
      <c r="D34" t="s">
        <v>54</v>
      </c>
      <c r="E34">
        <v>2011</v>
      </c>
      <c r="F34" t="s">
        <v>67</v>
      </c>
      <c r="G34">
        <v>0.06</v>
      </c>
      <c r="H34">
        <v>0.03</v>
      </c>
      <c r="I34">
        <v>0</v>
      </c>
      <c r="J34">
        <v>0</v>
      </c>
      <c r="K34">
        <v>0.04</v>
      </c>
      <c r="L34">
        <f t="shared" si="0"/>
        <v>0.15000000000000002</v>
      </c>
      <c r="M34">
        <f t="shared" si="1"/>
        <v>0.12</v>
      </c>
      <c r="N34">
        <f t="shared" si="2"/>
        <v>0.14306175822583292</v>
      </c>
      <c r="O34">
        <f t="shared" si="3"/>
        <v>2.0466666666666671E-2</v>
      </c>
    </row>
    <row r="35" spans="1:15" x14ac:dyDescent="0.2">
      <c r="A35">
        <v>14635</v>
      </c>
      <c r="B35" t="s">
        <v>68</v>
      </c>
      <c r="C35" t="s">
        <v>39</v>
      </c>
      <c r="D35" t="s">
        <v>54</v>
      </c>
      <c r="E35">
        <v>2010</v>
      </c>
      <c r="F35" t="s">
        <v>65</v>
      </c>
      <c r="G35">
        <v>0.35</v>
      </c>
      <c r="H35">
        <v>0.02</v>
      </c>
      <c r="I35">
        <v>0</v>
      </c>
      <c r="J35">
        <v>0</v>
      </c>
      <c r="K35">
        <v>0.03</v>
      </c>
      <c r="L35">
        <f t="shared" si="0"/>
        <v>0.18666666666666668</v>
      </c>
      <c r="M35">
        <f t="shared" si="1"/>
        <v>0.2</v>
      </c>
      <c r="N35">
        <f t="shared" si="2"/>
        <v>0.15044378795195676</v>
      </c>
      <c r="O35">
        <f t="shared" si="3"/>
        <v>2.2633333333333332E-2</v>
      </c>
    </row>
    <row r="36" spans="1:15" x14ac:dyDescent="0.2">
      <c r="A36">
        <v>5538</v>
      </c>
      <c r="B36" t="s">
        <v>69</v>
      </c>
      <c r="C36" t="s">
        <v>39</v>
      </c>
      <c r="D36" t="s">
        <v>33</v>
      </c>
      <c r="E36">
        <v>2011</v>
      </c>
      <c r="F36" t="s">
        <v>70</v>
      </c>
      <c r="G36">
        <v>0.13</v>
      </c>
      <c r="H36">
        <v>0.17</v>
      </c>
      <c r="I36">
        <v>0</v>
      </c>
      <c r="J36">
        <v>0.04</v>
      </c>
      <c r="K36">
        <v>0.33</v>
      </c>
      <c r="L36">
        <f t="shared" si="0"/>
        <v>0.26500000000000001</v>
      </c>
      <c r="M36">
        <f t="shared" si="1"/>
        <v>0.26500000000000001</v>
      </c>
      <c r="N36">
        <f t="shared" si="2"/>
        <v>9.1923881554251255E-2</v>
      </c>
      <c r="O36">
        <f t="shared" si="3"/>
        <v>8.4500000000000131E-3</v>
      </c>
    </row>
    <row r="37" spans="1:15" x14ac:dyDescent="0.2">
      <c r="A37">
        <v>7712</v>
      </c>
      <c r="B37" t="s">
        <v>71</v>
      </c>
      <c r="C37" t="s">
        <v>39</v>
      </c>
      <c r="D37" t="s">
        <v>62</v>
      </c>
      <c r="E37">
        <v>2008</v>
      </c>
      <c r="F37" t="s">
        <v>72</v>
      </c>
      <c r="G37">
        <v>0</v>
      </c>
      <c r="H37">
        <v>0.13</v>
      </c>
      <c r="I37">
        <v>0</v>
      </c>
      <c r="J37">
        <v>0.02</v>
      </c>
      <c r="K37">
        <v>0.2</v>
      </c>
      <c r="L37">
        <f t="shared" si="0"/>
        <v>0.2</v>
      </c>
      <c r="M37">
        <f t="shared" si="1"/>
        <v>0.2</v>
      </c>
      <c r="N37">
        <v>0</v>
      </c>
      <c r="O37">
        <v>0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harshigupta.cse29@jecrc.ac.in</dc:creator>
  <cp:keywords/>
  <dc:description/>
  <cp:lastModifiedBy>Guest User</cp:lastModifiedBy>
  <cp:revision/>
  <dcterms:created xsi:type="dcterms:W3CDTF">2025-11-11T11:58:08Z</dcterms:created>
  <dcterms:modified xsi:type="dcterms:W3CDTF">2025-11-11T14:25:31Z</dcterms:modified>
  <cp:category/>
  <cp:contentStatus/>
</cp:coreProperties>
</file>